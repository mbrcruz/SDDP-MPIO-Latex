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rcelo\Dropbox (Personal)\Planejamento\Mestrado\Pesquisas\"/>
    </mc:Choice>
  </mc:AlternateContent>
  <xr:revisionPtr revIDLastSave="0" documentId="13_ncr:1_{5858D8F2-2855-4E33-A28B-FB31A74C501F}" xr6:coauthVersionLast="47" xr6:coauthVersionMax="47" xr10:uidLastSave="{00000000-0000-0000-0000-000000000000}"/>
  <bookViews>
    <workbookView xWindow="-120" yWindow="-120" windowWidth="29040" windowHeight="15720" xr2:uid="{022AB7EF-4F73-41C5-BB99-572D7A4BC7C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" l="1"/>
  <c r="F9" i="1"/>
  <c r="F8" i="1"/>
  <c r="E7" i="1"/>
  <c r="D7" i="1"/>
  <c r="F6" i="1"/>
  <c r="E6" i="1"/>
  <c r="D6" i="1"/>
  <c r="F5" i="1"/>
  <c r="E5" i="1"/>
  <c r="D5" i="1"/>
  <c r="F4" i="1"/>
  <c r="E4" i="1"/>
  <c r="D4" i="1"/>
</calcChain>
</file>

<file path=xl/sharedStrings.xml><?xml version="1.0" encoding="utf-8"?>
<sst xmlns="http://schemas.openxmlformats.org/spreadsheetml/2006/main" count="43" uniqueCount="34">
  <si>
    <t>Test</t>
  </si>
  <si>
    <t>Total time(h)</t>
  </si>
  <si>
    <t>Probe time(h)</t>
  </si>
  <si>
    <t>I/O time(h)</t>
  </si>
  <si>
    <t>Effective Bandwith(GB/s)</t>
  </si>
  <si>
    <t>Results Size</t>
  </si>
  <si>
    <t>6 Scenarios  ( 1 nodes )</t>
  </si>
  <si>
    <t>40 GB</t>
  </si>
  <si>
    <t>12 Scenarios ( 2 nodes )</t>
  </si>
  <si>
    <t xml:space="preserve">  80 GB</t>
  </si>
  <si>
    <t>24 Scenarios ( 4 Nodes )</t>
  </si>
  <si>
    <t xml:space="preserve">  160 GB</t>
  </si>
  <si>
    <t>48 Scenarios ( 8 Nodes )</t>
  </si>
  <si>
    <t xml:space="preserve">  320 GB</t>
  </si>
  <si>
    <t>1200 Scenarios  ( 200 Nodes)</t>
  </si>
  <si>
    <t>**</t>
  </si>
  <si>
    <t>2,29(*)</t>
  </si>
  <si>
    <t xml:space="preserve">  8 TB</t>
  </si>
  <si>
    <t>1.2 Mi Scenarios ( 1.2 Mi nodes)</t>
  </si>
  <si>
    <t xml:space="preserve"> 8 PB</t>
  </si>
  <si>
    <t>5,718(*)</t>
  </si>
  <si>
    <t>(*) Estimation based on the average bandwith.</t>
  </si>
  <si>
    <t xml:space="preserve"> </t>
  </si>
  <si>
    <t>80 GB</t>
  </si>
  <si>
    <t>160 GB</t>
  </si>
  <si>
    <t>320 GB</t>
  </si>
  <si>
    <t>160 Nodes  (*)</t>
  </si>
  <si>
    <t>32  PB</t>
  </si>
  <si>
    <t>-</t>
  </si>
  <si>
    <t>12800(*)</t>
  </si>
  <si>
    <t>1600 Nodes (*)</t>
  </si>
  <si>
    <t>320 PB</t>
  </si>
  <si>
    <t>128000(*)</t>
  </si>
  <si>
    <t> 2772,69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</si>
</sst>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Aptos Narrow"/>
      <family val="2"/>
      <scheme val="minor"/>
    </font>
    <font>
      <b/>
      <sz val="14"/>
      <color rgb="FFFFFFFF"/>
      <name val="Gill Sans MT"/>
      <family val="2"/>
    </font>
    <font>
      <sz val="14"/>
      <color rgb="FF000000"/>
      <name val="Gill Sans MT"/>
      <family val="2"/>
    </font>
    <font>
      <sz val="14"/>
      <name val="Arial"/>
      <family val="2"/>
    </font>
    <font>
      <b/>
      <sz val="14"/>
      <color rgb="FFFFFFFF"/>
      <name val="Myriad Pro Light"/>
    </font>
    <font>
      <sz val="18"/>
      <color rgb="FF000000"/>
      <name val="Myriad Pro Light"/>
    </font>
    <font>
      <sz val="14"/>
      <color rgb="FF000000"/>
      <name val="Myriad Pro Light"/>
    </font>
  </fonts>
  <fills count="8">
    <fill>
      <patternFill patternType="none"/>
    </fill>
    <fill>
      <patternFill patternType="gray125"/>
    </fill>
    <fill>
      <patternFill patternType="solid">
        <fgColor rgb="FF1A3260"/>
        <bgColor indexed="64"/>
      </patternFill>
    </fill>
    <fill>
      <patternFill patternType="solid">
        <fgColor rgb="FFCCCDD2"/>
        <bgColor indexed="64"/>
      </patternFill>
    </fill>
    <fill>
      <patternFill patternType="solid">
        <fgColor rgb="FFE7E8EA"/>
        <bgColor indexed="64"/>
      </patternFill>
    </fill>
    <fill>
      <patternFill patternType="solid">
        <fgColor rgb="FF162944"/>
        <bgColor indexed="64"/>
      </patternFill>
    </fill>
    <fill>
      <patternFill patternType="solid">
        <fgColor rgb="FFCCCDCF"/>
        <bgColor indexed="64"/>
      </patternFill>
    </fill>
    <fill>
      <patternFill patternType="solid">
        <fgColor rgb="FFE7E8E9"/>
        <bgColor indexed="64"/>
      </patternFill>
    </fill>
  </fills>
  <borders count="6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 style="thick">
        <color rgb="FFFFFFFF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left" vertical="center" wrapText="1" readingOrder="1"/>
    </xf>
    <xf numFmtId="0" fontId="2" fillId="3" borderId="2" xfId="0" applyFont="1" applyFill="1" applyBorder="1" applyAlignment="1">
      <alignment horizontal="left" vertical="center" wrapText="1" readingOrder="1"/>
    </xf>
    <xf numFmtId="0" fontId="2" fillId="3" borderId="2" xfId="0" applyFont="1" applyFill="1" applyBorder="1" applyAlignment="1">
      <alignment horizontal="center" vertical="center" wrapText="1" readingOrder="1"/>
    </xf>
    <xf numFmtId="0" fontId="2" fillId="4" borderId="3" xfId="0" applyFont="1" applyFill="1" applyBorder="1" applyAlignment="1">
      <alignment horizontal="left" vertical="center" wrapText="1" readingOrder="1"/>
    </xf>
    <xf numFmtId="0" fontId="2" fillId="4" borderId="3" xfId="0" applyFont="1" applyFill="1" applyBorder="1" applyAlignment="1">
      <alignment horizontal="center" vertical="center" wrapText="1" readingOrder="1"/>
    </xf>
    <xf numFmtId="0" fontId="2" fillId="3" borderId="3" xfId="0" applyFont="1" applyFill="1" applyBorder="1" applyAlignment="1">
      <alignment horizontal="left" vertical="center" wrapText="1" readingOrder="1"/>
    </xf>
    <xf numFmtId="0" fontId="2" fillId="3" borderId="3" xfId="0" applyFont="1" applyFill="1" applyBorder="1" applyAlignment="1">
      <alignment horizontal="center" vertical="center" wrapText="1" readingOrder="1"/>
    </xf>
    <xf numFmtId="164" fontId="2" fillId="4" borderId="3" xfId="0" applyNumberFormat="1" applyFont="1" applyFill="1" applyBorder="1" applyAlignment="1">
      <alignment horizontal="center" vertical="center" wrapText="1" readingOrder="1"/>
    </xf>
    <xf numFmtId="164" fontId="2" fillId="3" borderId="3" xfId="0" applyNumberFormat="1" applyFont="1" applyFill="1" applyBorder="1" applyAlignment="1">
      <alignment horizontal="center" vertical="center" wrapText="1" readingOrder="1"/>
    </xf>
    <xf numFmtId="164" fontId="2" fillId="3" borderId="2" xfId="0" applyNumberFormat="1" applyFont="1" applyFill="1" applyBorder="1" applyAlignment="1">
      <alignment horizontal="center" vertical="center" wrapText="1" readingOrder="1"/>
    </xf>
    <xf numFmtId="2" fontId="3" fillId="3" borderId="3" xfId="0" applyNumberFormat="1" applyFont="1" applyFill="1" applyBorder="1" applyAlignment="1">
      <alignment horizontal="center" vertical="top" wrapText="1"/>
    </xf>
    <xf numFmtId="2" fontId="3" fillId="4" borderId="3" xfId="0" applyNumberFormat="1" applyFont="1" applyFill="1" applyBorder="1" applyAlignment="1">
      <alignment horizontal="center" vertical="top" wrapText="1"/>
    </xf>
    <xf numFmtId="0" fontId="4" fillId="5" borderId="4" xfId="0" applyFont="1" applyFill="1" applyBorder="1" applyAlignment="1">
      <alignment horizontal="center" vertical="center" wrapText="1" readingOrder="1"/>
    </xf>
    <xf numFmtId="0" fontId="4" fillId="5" borderId="5" xfId="0" applyFont="1" applyFill="1" applyBorder="1" applyAlignment="1">
      <alignment horizontal="center" vertical="center" wrapText="1" readingOrder="1"/>
    </xf>
    <xf numFmtId="0" fontId="5" fillId="5" borderId="4" xfId="0" applyFont="1" applyFill="1" applyBorder="1" applyAlignment="1">
      <alignment horizontal="center" vertical="center" wrapText="1" readingOrder="1"/>
    </xf>
    <xf numFmtId="0" fontId="6" fillId="6" borderId="2" xfId="0" applyFont="1" applyFill="1" applyBorder="1" applyAlignment="1">
      <alignment horizontal="left" vertical="center" wrapText="1" readingOrder="1"/>
    </xf>
    <xf numFmtId="0" fontId="6" fillId="6" borderId="2" xfId="0" applyFont="1" applyFill="1" applyBorder="1" applyAlignment="1">
      <alignment horizontal="center" vertical="center" wrapText="1" readingOrder="1"/>
    </xf>
    <xf numFmtId="0" fontId="5" fillId="6" borderId="2" xfId="0" applyFont="1" applyFill="1" applyBorder="1" applyAlignment="1">
      <alignment horizontal="center" vertical="center" wrapText="1" readingOrder="1"/>
    </xf>
    <xf numFmtId="0" fontId="6" fillId="7" borderId="3" xfId="0" applyFont="1" applyFill="1" applyBorder="1" applyAlignment="1">
      <alignment horizontal="left" vertical="center" wrapText="1" readingOrder="1"/>
    </xf>
    <xf numFmtId="0" fontId="6" fillId="7" borderId="3" xfId="0" applyFont="1" applyFill="1" applyBorder="1" applyAlignment="1">
      <alignment horizontal="center" vertical="center" wrapText="1" readingOrder="1"/>
    </xf>
    <xf numFmtId="0" fontId="5" fillId="7" borderId="3" xfId="0" applyFont="1" applyFill="1" applyBorder="1" applyAlignment="1">
      <alignment horizontal="center" vertical="center" wrapText="1" readingOrder="1"/>
    </xf>
    <xf numFmtId="0" fontId="6" fillId="6" borderId="3" xfId="0" applyFont="1" applyFill="1" applyBorder="1" applyAlignment="1">
      <alignment horizontal="left" vertical="center" wrapText="1" readingOrder="1"/>
    </xf>
    <xf numFmtId="0" fontId="6" fillId="6" borderId="3" xfId="0" applyFont="1" applyFill="1" applyBorder="1" applyAlignment="1">
      <alignment horizontal="center" vertical="center" wrapText="1" readingOrder="1"/>
    </xf>
    <xf numFmtId="0" fontId="5" fillId="6" borderId="3" xfId="0" applyFont="1" applyFill="1" applyBorder="1" applyAlignment="1">
      <alignment horizontal="center" vertical="center" wrapText="1" readingOrder="1"/>
    </xf>
    <xf numFmtId="0" fontId="5" fillId="5" borderId="5" xfId="0" applyFont="1" applyFill="1" applyBorder="1" applyAlignment="1">
      <alignment horizontal="center" vertical="center" wrapText="1" readingOrder="1"/>
    </xf>
    <xf numFmtId="0" fontId="4" fillId="5" borderId="4" xfId="0" applyFont="1" applyFill="1" applyBorder="1" applyAlignment="1">
      <alignment horizontal="left" vertical="center" wrapText="1" readingOrder="1"/>
    </xf>
    <xf numFmtId="0" fontId="4" fillId="5" borderId="5" xfId="0" applyFont="1" applyFill="1" applyBorder="1" applyAlignment="1">
      <alignment horizontal="left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Round-trip time</a:t>
            </a:r>
            <a:r>
              <a:rPr lang="en-US" baseline="0"/>
              <a:t> X number nodes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9080927384076991E-2"/>
          <c:y val="0.12036908881199539"/>
          <c:w val="0.8964746281714786"/>
          <c:h val="0.61668564785803159"/>
        </c:manualLayout>
      </c:layout>
      <c:lineChart>
        <c:grouping val="standard"/>
        <c:varyColors val="0"/>
        <c:ser>
          <c:idx val="1"/>
          <c:order val="0"/>
          <c:tx>
            <c:v>Round-trip time(s)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Planilha1!$D$14:$D$18</c:f>
              <c:numCache>
                <c:formatCode>General</c:formatCode>
                <c:ptCount val="5"/>
                <c:pt idx="0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</c:numCache>
            </c:numRef>
          </c:cat>
          <c:val>
            <c:numRef>
              <c:f>Planilha1!$H$14:$H$18</c:f>
              <c:numCache>
                <c:formatCode>General</c:formatCode>
                <c:ptCount val="5"/>
                <c:pt idx="0">
                  <c:v>6.2709999999999997E-3</c:v>
                </c:pt>
                <c:pt idx="2">
                  <c:v>1.0697999999999999E-2</c:v>
                </c:pt>
                <c:pt idx="3">
                  <c:v>0.46021899999999999</c:v>
                </c:pt>
                <c:pt idx="4">
                  <c:v>1.525884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67C-4573-B97A-D2C041052F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9347504"/>
        <c:axId val="1887460352"/>
      </c:lineChart>
      <c:catAx>
        <c:axId val="1669347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7460352"/>
        <c:crosses val="autoZero"/>
        <c:auto val="1"/>
        <c:lblAlgn val="ctr"/>
        <c:lblOffset val="100"/>
        <c:noMultiLvlLbl val="0"/>
      </c:catAx>
      <c:valAx>
        <c:axId val="1887460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347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1587</xdr:colOff>
      <xdr:row>21</xdr:row>
      <xdr:rowOff>134937</xdr:rowOff>
    </xdr:from>
    <xdr:to>
      <xdr:col>6</xdr:col>
      <xdr:colOff>1077912</xdr:colOff>
      <xdr:row>36</xdr:row>
      <xdr:rowOff>173037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5CF8A71-4BFE-90A5-4800-787FD2D84B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41E84-A83F-4391-BFEE-2FFAB6161BC9}">
  <dimension ref="B2:J20"/>
  <sheetViews>
    <sheetView tabSelected="1" topLeftCell="A10" workbookViewId="0">
      <selection activeCell="H26" sqref="H26"/>
    </sheetView>
  </sheetViews>
  <sheetFormatPr defaultRowHeight="14.5" x14ac:dyDescent="0.35"/>
  <cols>
    <col min="3" max="3" width="34.1796875" customWidth="1"/>
    <col min="4" max="4" width="17.36328125" bestFit="1" customWidth="1"/>
    <col min="5" max="5" width="18.08984375" bestFit="1" customWidth="1"/>
    <col min="6" max="6" width="14.6328125" bestFit="1" customWidth="1"/>
    <col min="7" max="7" width="20.1796875" bestFit="1" customWidth="1"/>
    <col min="8" max="8" width="38.1796875" bestFit="1" customWidth="1"/>
    <col min="9" max="9" width="29.08984375" customWidth="1"/>
    <col min="10" max="10" width="16.54296875" customWidth="1"/>
  </cols>
  <sheetData>
    <row r="2" spans="2:10" ht="15" thickBot="1" x14ac:dyDescent="0.4">
      <c r="C2">
        <v>3600</v>
      </c>
    </row>
    <row r="3" spans="2:10" ht="42.5" thickBot="1" x14ac:dyDescent="0.4"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  <c r="H3" s="1" t="s">
        <v>5</v>
      </c>
    </row>
    <row r="4" spans="2:10" ht="22" thickTop="1" thickBot="1" x14ac:dyDescent="0.4">
      <c r="C4" s="2" t="s">
        <v>6</v>
      </c>
      <c r="D4" s="10">
        <f>19514/C2</f>
        <v>5.4205555555555556</v>
      </c>
      <c r="E4" s="10">
        <f>18901.03/C2</f>
        <v>5.2502861111111105</v>
      </c>
      <c r="F4" s="10">
        <f>17.11/C2</f>
        <v>4.7527777777777776E-3</v>
      </c>
      <c r="G4" s="10">
        <v>2.33</v>
      </c>
      <c r="H4" s="3" t="s">
        <v>7</v>
      </c>
    </row>
    <row r="5" spans="2:10" ht="21.5" thickBot="1" x14ac:dyDescent="0.4">
      <c r="C5" s="4" t="s">
        <v>8</v>
      </c>
      <c r="D5" s="8">
        <f>21202/C2</f>
        <v>5.889444444444444</v>
      </c>
      <c r="E5" s="8">
        <f>20499.58/C2</f>
        <v>5.6943277777777785</v>
      </c>
      <c r="F5" s="8">
        <f>35.21/C2</f>
        <v>9.7805555555555562E-3</v>
      </c>
      <c r="G5" s="8">
        <v>2.27</v>
      </c>
      <c r="H5" s="5" t="s">
        <v>9</v>
      </c>
    </row>
    <row r="6" spans="2:10" ht="21.5" thickBot="1" x14ac:dyDescent="0.4">
      <c r="C6" s="6" t="s">
        <v>10</v>
      </c>
      <c r="D6" s="9">
        <f>19729/C2</f>
        <v>5.4802777777777774</v>
      </c>
      <c r="E6" s="9">
        <f>18929/C2</f>
        <v>5.2580555555555559</v>
      </c>
      <c r="F6" s="9">
        <f>68.65/C2</f>
        <v>1.9069444444444444E-2</v>
      </c>
      <c r="G6" s="9">
        <v>2.33</v>
      </c>
      <c r="H6" s="7" t="s">
        <v>11</v>
      </c>
    </row>
    <row r="7" spans="2:10" ht="21.5" thickBot="1" x14ac:dyDescent="0.4">
      <c r="C7" s="4" t="s">
        <v>12</v>
      </c>
      <c r="D7" s="8">
        <f>21897/C2</f>
        <v>6.0824999999999996</v>
      </c>
      <c r="E7" s="8">
        <f>21731.88/C2</f>
        <v>6.0366333333333335</v>
      </c>
      <c r="F7" s="8">
        <f>144.16/C2</f>
        <v>4.0044444444444445E-2</v>
      </c>
      <c r="G7" s="8">
        <v>2.21</v>
      </c>
      <c r="H7" s="5" t="s">
        <v>13</v>
      </c>
    </row>
    <row r="8" spans="2:10" ht="21.5" thickBot="1" x14ac:dyDescent="0.4">
      <c r="C8" s="6" t="s">
        <v>14</v>
      </c>
      <c r="D8" s="7" t="s">
        <v>20</v>
      </c>
      <c r="E8" s="7" t="s">
        <v>15</v>
      </c>
      <c r="F8" s="11">
        <f>3493/3600</f>
        <v>0.97027777777777779</v>
      </c>
      <c r="G8" s="7" t="s">
        <v>16</v>
      </c>
      <c r="H8" s="7" t="s">
        <v>17</v>
      </c>
    </row>
    <row r="9" spans="2:10" ht="21.5" thickBot="1" x14ac:dyDescent="0.4">
      <c r="C9" s="4" t="s">
        <v>18</v>
      </c>
      <c r="D9" s="5" t="s">
        <v>20</v>
      </c>
      <c r="E9" s="5" t="s">
        <v>15</v>
      </c>
      <c r="F9" s="12">
        <f>3493449.78/C2</f>
        <v>970.40271666666661</v>
      </c>
      <c r="G9" s="5" t="s">
        <v>16</v>
      </c>
      <c r="H9" s="5" t="s">
        <v>19</v>
      </c>
    </row>
    <row r="10" spans="2:10" ht="42.5" thickBot="1" x14ac:dyDescent="0.4">
      <c r="C10" s="6"/>
      <c r="D10" s="7"/>
      <c r="E10" s="7"/>
      <c r="F10" s="11"/>
      <c r="G10" s="7"/>
      <c r="H10" s="7" t="s">
        <v>21</v>
      </c>
    </row>
    <row r="13" spans="2:10" ht="15" thickBot="1" x14ac:dyDescent="0.4"/>
    <row r="14" spans="2:10" ht="24.5" customHeight="1" x14ac:dyDescent="0.35">
      <c r="D14" s="26">
        <v>2</v>
      </c>
      <c r="E14" s="13">
        <v>12</v>
      </c>
      <c r="F14" s="13" t="s">
        <v>7</v>
      </c>
      <c r="G14" s="13">
        <v>9.5799999999999998E-4</v>
      </c>
      <c r="H14" s="13">
        <v>6.2709999999999997E-3</v>
      </c>
      <c r="I14" s="13">
        <v>0.28499999999999998</v>
      </c>
      <c r="J14" s="15">
        <v>2528.5100000000002</v>
      </c>
    </row>
    <row r="15" spans="2:10" ht="18.5" customHeight="1" thickBot="1" x14ac:dyDescent="0.4">
      <c r="B15">
        <v>2</v>
      </c>
      <c r="D15" s="27"/>
      <c r="E15" s="14"/>
      <c r="F15" s="14"/>
      <c r="G15" s="14" t="s">
        <v>22</v>
      </c>
      <c r="H15" s="14"/>
      <c r="I15" s="14"/>
      <c r="J15" s="25"/>
    </row>
    <row r="16" spans="2:10" ht="24" thickTop="1" thickBot="1" x14ac:dyDescent="0.4">
      <c r="D16" s="16">
        <v>4</v>
      </c>
      <c r="E16" s="17">
        <v>24</v>
      </c>
      <c r="F16" s="17" t="s">
        <v>23</v>
      </c>
      <c r="G16" s="17">
        <v>4.9551999999999999E-3</v>
      </c>
      <c r="H16" s="17">
        <v>1.0697999999999999E-2</v>
      </c>
      <c r="I16" s="17">
        <v>1.4730000000000001</v>
      </c>
      <c r="J16" s="18">
        <v>2565.91</v>
      </c>
    </row>
    <row r="17" spans="4:10" ht="23.5" thickBot="1" x14ac:dyDescent="0.4">
      <c r="D17" s="19">
        <v>8</v>
      </c>
      <c r="E17" s="20">
        <v>48</v>
      </c>
      <c r="F17" s="20" t="s">
        <v>24</v>
      </c>
      <c r="G17" s="20">
        <v>0.18638099999999999</v>
      </c>
      <c r="H17" s="20">
        <v>0.46021899999999999</v>
      </c>
      <c r="I17" s="20">
        <v>55.381999999999998</v>
      </c>
      <c r="J17" s="21" t="s">
        <v>33</v>
      </c>
    </row>
    <row r="18" spans="4:10" ht="23.5" thickBot="1" x14ac:dyDescent="0.4">
      <c r="D18" s="22">
        <v>16</v>
      </c>
      <c r="E18" s="23">
        <v>96</v>
      </c>
      <c r="F18" s="23" t="s">
        <v>25</v>
      </c>
      <c r="G18" s="23">
        <v>0.88496300000000006</v>
      </c>
      <c r="H18" s="23">
        <v>1.525884</v>
      </c>
      <c r="I18" s="23">
        <v>262.89800000000002</v>
      </c>
      <c r="J18" s="24">
        <v>3190.86</v>
      </c>
    </row>
    <row r="19" spans="4:10" ht="18.5" thickBot="1" x14ac:dyDescent="0.4">
      <c r="D19" s="19" t="s">
        <v>26</v>
      </c>
      <c r="E19" s="20">
        <v>1200</v>
      </c>
      <c r="F19" s="20" t="s">
        <v>27</v>
      </c>
      <c r="G19" s="20" t="s">
        <v>28</v>
      </c>
      <c r="H19" s="20" t="s">
        <v>28</v>
      </c>
      <c r="I19" s="20" t="s">
        <v>29</v>
      </c>
      <c r="J19" s="20" t="s">
        <v>28</v>
      </c>
    </row>
    <row r="20" spans="4:10" ht="18.5" thickBot="1" x14ac:dyDescent="0.4">
      <c r="D20" s="22" t="s">
        <v>30</v>
      </c>
      <c r="E20" s="23">
        <v>12000</v>
      </c>
      <c r="F20" s="23" t="s">
        <v>31</v>
      </c>
      <c r="G20" s="23" t="s">
        <v>28</v>
      </c>
      <c r="H20" s="23" t="s">
        <v>28</v>
      </c>
      <c r="I20" s="23" t="s">
        <v>32</v>
      </c>
      <c r="J20" s="23" t="s">
        <v>28</v>
      </c>
    </row>
  </sheetData>
  <mergeCells count="1">
    <mergeCell ref="D14:D15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B. da Cruz</dc:creator>
  <cp:lastModifiedBy>Marcelo Barros</cp:lastModifiedBy>
  <dcterms:created xsi:type="dcterms:W3CDTF">2024-06-14T13:41:20Z</dcterms:created>
  <dcterms:modified xsi:type="dcterms:W3CDTF">2025-04-02T17:25:30Z</dcterms:modified>
</cp:coreProperties>
</file>